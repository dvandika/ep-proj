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P-ASKI/"/>
    </mc:Choice>
  </mc:AlternateContent>
  <xr:revisionPtr revIDLastSave="0" documentId="13_ncr:1_{5910EA72-ED2D-104C-84B8-AB574C107131}" xr6:coauthVersionLast="45" xr6:coauthVersionMax="45" xr10:uidLastSave="{00000000-0000-0000-0000-000000000000}"/>
  <bookViews>
    <workbookView xWindow="1080" yWindow="460" windowWidth="23600" windowHeight="16680" xr2:uid="{00000000-000D-0000-FFFF-FFFF00000000}"/>
  </bookViews>
  <sheets>
    <sheet name="03.10.2019" sheetId="1" r:id="rId1"/>
  </sheets>
  <definedNames>
    <definedName name="_xlnm._FilterDatabase" localSheetId="0" hidden="1">'03.10.2019'!$A$1:$Q$33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N3" i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O23" i="1" s="1"/>
  <c r="Q23" i="1" s="1"/>
  <c r="N24" i="1"/>
  <c r="O24" i="1" s="1"/>
  <c r="Q24" i="1" s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N2" i="1" l="1"/>
  <c r="O2" i="1" s="1"/>
  <c r="Q2" i="1" s="1"/>
  <c r="H2" i="1"/>
  <c r="O3" i="1"/>
  <c r="Q3" i="1" s="1"/>
  <c r="H3" i="1"/>
</calcChain>
</file>

<file path=xl/sharedStrings.xml><?xml version="1.0" encoding="utf-8"?>
<sst xmlns="http://schemas.openxmlformats.org/spreadsheetml/2006/main" count="113" uniqueCount="82">
  <si>
    <t>QB4MRR-SBAS12BK00</t>
  </si>
  <si>
    <t>S/A BASE STAY RHD RH 34832-C0200 EMBED</t>
  </si>
  <si>
    <t>QB4MRR-SBAS12BK01</t>
  </si>
  <si>
    <t>S/A BASE STAY RHD LH 34831-C0200 EMBED</t>
  </si>
  <si>
    <t>PT. JAEIL INDONESIA</t>
  </si>
  <si>
    <t>QB2MRR-KHLDZLBK01</t>
  </si>
  <si>
    <t>QB2MRR-KHLDZLBK00</t>
  </si>
  <si>
    <t>QB4MRR-SBAS12BK03</t>
  </si>
  <si>
    <t>QB4MRR-SBAS12BK02</t>
  </si>
  <si>
    <t>QB4MRR-KBAS12BK05</t>
  </si>
  <si>
    <t>QB4MRR-KBAS12BK04</t>
  </si>
  <si>
    <t>QB4MRR-SCVR12BK03</t>
  </si>
  <si>
    <t>QB4MRR-SCVR12BK02</t>
  </si>
  <si>
    <t>QB4MRR-SCVR12BK01</t>
  </si>
  <si>
    <t>QB4MRR-SCVR12BK00</t>
  </si>
  <si>
    <t>QB4MRR-SGSK97BK01</t>
  </si>
  <si>
    <t>QB4MRR-SGSK97BK00</t>
  </si>
  <si>
    <t>QB4MRR-KGSK14BK00</t>
  </si>
  <si>
    <t>QB4MRR-KGSK14BK01</t>
  </si>
  <si>
    <t>QB2MRR-SHLDWWBK01</t>
  </si>
  <si>
    <t>QB2MRR-SHLDWWBK00</t>
  </si>
  <si>
    <t>QB4MRR-SBAS01BK00</t>
  </si>
  <si>
    <t>QB4MRR-SBAS01BK01</t>
  </si>
  <si>
    <t>QB4MRR-KGSK12BK01</t>
  </si>
  <si>
    <t>QB4MRR-KGSK12BK00</t>
  </si>
  <si>
    <t>QB4MRR-SCVR12BK05</t>
  </si>
  <si>
    <t>QB4MRR-SCVR12BK04</t>
  </si>
  <si>
    <t>QB4MRR-KBRK14BK01</t>
  </si>
  <si>
    <t>QB4MRR-KBRK14BK00</t>
  </si>
  <si>
    <t>QB4MRR-KBRK14BK02</t>
  </si>
  <si>
    <t>QB4MRR-KBRK14BK03</t>
  </si>
  <si>
    <t>QB4MRR-KHOU14BK00</t>
  </si>
  <si>
    <t>QB4MRR-KHOU14BK01</t>
  </si>
  <si>
    <t>QB4MRR-KGSK01BK00</t>
  </si>
  <si>
    <t>QB4MRR-KGSK01BK01</t>
  </si>
  <si>
    <t>HOLDER MIRROR BACK LH KZLG SC</t>
  </si>
  <si>
    <t>HOLDER MIRROR BACK RH KZLG SC</t>
  </si>
  <si>
    <t>S/A BASE STAY LHD LH 34831-C0300 EMBED</t>
  </si>
  <si>
    <t>S/A BASE STAY LHD RH 34832-C0300 EMBED</t>
  </si>
  <si>
    <t>SUB ASSY BASE STAY RHD LH 34831-C0200</t>
  </si>
  <si>
    <t>SUB ASSY BASE STAY RHD RH 34832-C0200</t>
  </si>
  <si>
    <t>COVER OUTER MIRROR LH NO.3 34832-C0400SC</t>
  </si>
  <si>
    <t>COVER OUTER MIRROR RH NO.3 34832-C0400SC</t>
  </si>
  <si>
    <t>COVER OUTER MIRROR LH NO.2 34831-C0100SC</t>
  </si>
  <si>
    <t>COVER OUTER MIRROR RH NO.2 34832-C0100SC</t>
  </si>
  <si>
    <t>GASKET RH D97D</t>
  </si>
  <si>
    <t>GASKET LH D97D</t>
  </si>
  <si>
    <t>GASKET LH 34231-C1200 SC</t>
  </si>
  <si>
    <t>GASKET RH 34232-C1100 SC</t>
  </si>
  <si>
    <t>HOLDER MIRROR BACK RH KWWT</t>
  </si>
  <si>
    <t>HOLDER MIRROR BACK LH KWWT</t>
  </si>
  <si>
    <t>BASE LH 441-D01N-30-004-111</t>
  </si>
  <si>
    <t>BASE RH 441-D01N-30-004-110</t>
  </si>
  <si>
    <t>GASKET LH D12 34381-S0600 SC</t>
  </si>
  <si>
    <t>GASKET RH D12 34382-S0600 SC</t>
  </si>
  <si>
    <t>COVER OUTER MIRROR LH NO. 2 STSL D12L SC</t>
  </si>
  <si>
    <t>COVER OUTER MIRROR RH NO. 2 STSL D12L SC</t>
  </si>
  <si>
    <t>BRACKET M/F RH 34232-C3300 SC</t>
  </si>
  <si>
    <t>BRACKET M/F LH 34231-C3300 SC</t>
  </si>
  <si>
    <t>BRACKET P/F LH 34231-C3200 SC</t>
  </si>
  <si>
    <t>BRACKET P/F RH 34232-C3200 SC</t>
  </si>
  <si>
    <t>HOUSING LH 34231-C0200 SC</t>
  </si>
  <si>
    <t>HOUSING RH 34232-C0100 SC</t>
  </si>
  <si>
    <t>GASKET LH 441-D01N-30-005-111 SC</t>
  </si>
  <si>
    <t>GASKET RH 441-D01N-30-005-110 SC</t>
  </si>
  <si>
    <t>#</t>
  </si>
  <si>
    <t>VendorID</t>
  </si>
  <si>
    <t>Vendor Name</t>
  </si>
  <si>
    <t>Material Number ASKI</t>
  </si>
  <si>
    <t>Material Number Vendor</t>
  </si>
  <si>
    <t>Material Description</t>
  </si>
  <si>
    <t>Date</t>
  </si>
  <si>
    <t>Keb/Day</t>
  </si>
  <si>
    <t>Level Stok</t>
  </si>
  <si>
    <t>Stok Awal</t>
  </si>
  <si>
    <t>Plan Prod Vendor</t>
  </si>
  <si>
    <t>OS Pendin</t>
  </si>
  <si>
    <t>OS Reg</t>
  </si>
  <si>
    <t>Actual Stock</t>
  </si>
  <si>
    <t>Level Stock Days</t>
  </si>
  <si>
    <t>Std Level Stock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</si>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</sst>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165" fontId="4" fillId="0" borderId="0" xfId="0" applyNumberFormat="1" applyFont="1" applyBorder="1"/>
    <xf numFmtId="1" fontId="4" fillId="2" borderId="0" xfId="0" applyNumberFormat="1" applyFont="1" applyFill="1" applyBorder="1"/>
    <xf numFmtId="2" fontId="4" fillId="0" borderId="0" xfId="1" applyNumberFormat="1" applyFont="1" applyBorder="1"/>
    <xf numFmtId="0" fontId="4" fillId="2" borderId="0" xfId="0" applyFont="1" applyFill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E1" workbookViewId="0">
      <selection activeCell="F37" sqref="F37"/>
    </sheetView>
  </sheetViews>
  <sheetFormatPr baseColWidth="10" defaultColWidth="8.83203125" defaultRowHeight="15" x14ac:dyDescent="0.2"/>
  <cols>
    <col min="1" max="1" width="6" bestFit="1" customWidth="1"/>
    <col min="2" max="2" width="12.1640625" bestFit="1" customWidth="1"/>
    <col min="3" max="3" width="20" bestFit="1" customWidth="1"/>
    <col min="4" max="4" width="23.5" bestFit="1" customWidth="1"/>
    <col min="5" max="5" width="25.83203125" bestFit="1" customWidth="1"/>
    <col min="6" max="6" width="39.5" bestFit="1" customWidth="1"/>
    <col min="7" max="7" width="10.1640625" style="1" bestFit="1" customWidth="1"/>
    <col min="8" max="8" width="12.1640625" bestFit="1" customWidth="1"/>
    <col min="9" max="9" width="8.6640625" bestFit="1" customWidth="1"/>
    <col min="10" max="10" width="12.5" bestFit="1" customWidth="1"/>
    <col min="11" max="11" width="15.33203125" bestFit="1" customWidth="1"/>
    <col min="12" max="12" width="12" bestFit="1" customWidth="1"/>
    <col min="13" max="13" width="9" bestFit="1" customWidth="1"/>
    <col min="14" max="14" width="14.6640625" bestFit="1" customWidth="1"/>
    <col min="15" max="15" width="17.5" customWidth="1"/>
    <col min="16" max="16" width="20" customWidth="1"/>
    <col min="20" max="20" width="13.33203125" customWidth="1"/>
  </cols>
  <sheetData>
    <row r="1" spans="1:20" s="2" customFormat="1" x14ac:dyDescent="0.2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5" t="s">
        <v>71</v>
      </c>
      <c r="H1" s="6" t="s">
        <v>73</v>
      </c>
      <c r="I1" s="6" t="s">
        <v>72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6" t="s">
        <v>80</v>
      </c>
      <c r="Q1" s="4" t="s">
        <v>81</v>
      </c>
      <c r="T1" s="3"/>
    </row>
    <row r="2" spans="1:20" x14ac:dyDescent="0.2">
      <c r="A2" s="7">
        <v>1</v>
      </c>
      <c r="B2" s="7">
        <v>31011520</v>
      </c>
      <c r="C2" s="7" t="s">
        <v>4</v>
      </c>
      <c r="D2" s="7" t="s">
        <v>5</v>
      </c>
      <c r="E2" s="7"/>
      <c r="F2" s="7" t="s">
        <v>35</v>
      </c>
      <c r="G2" s="8">
        <v>43741</v>
      </c>
      <c r="H2" s="9">
        <f>I2*P2</f>
        <v>1734.782608695652</v>
      </c>
      <c r="I2" s="9">
        <v>578.26086956521738</v>
      </c>
      <c r="J2" s="7">
        <v>868</v>
      </c>
      <c r="K2" s="7">
        <v>623</v>
      </c>
      <c r="L2" s="7">
        <v>0</v>
      </c>
      <c r="M2" s="7"/>
      <c r="N2" s="7">
        <f>J2+K2-L2-M2</f>
        <v>1491</v>
      </c>
      <c r="O2" s="10">
        <f>N2/I2</f>
        <v>2.5784210526315792</v>
      </c>
      <c r="P2" s="11">
        <v>3</v>
      </c>
      <c r="Q2" s="7" t="str">
        <f>IF(O2&lt;P2,"NOT OK ", "OK")</f>
        <v xml:space="preserve">NOT OK </v>
      </c>
    </row>
    <row r="3" spans="1:20" x14ac:dyDescent="0.2">
      <c r="A3" s="7">
        <v>2</v>
      </c>
      <c r="B3" s="7">
        <v>31011520</v>
      </c>
      <c r="C3" s="7" t="s">
        <v>4</v>
      </c>
      <c r="D3" s="7" t="s">
        <v>6</v>
      </c>
      <c r="E3" s="7"/>
      <c r="F3" s="7" t="s">
        <v>36</v>
      </c>
      <c r="G3" s="8">
        <v>43741</v>
      </c>
      <c r="H3" s="9">
        <f>I3*P3</f>
        <v>1734.782608695652</v>
      </c>
      <c r="I3" s="9">
        <v>578.26086956521738</v>
      </c>
      <c r="J3" s="7">
        <v>810</v>
      </c>
      <c r="K3" s="7">
        <v>237</v>
      </c>
      <c r="L3" s="7">
        <v>0</v>
      </c>
      <c r="M3" s="7"/>
      <c r="N3" s="7">
        <f t="shared" ref="N3:N33" si="0">J3+K3-L3-M3</f>
        <v>1047</v>
      </c>
      <c r="O3" s="10">
        <f>N3/I3</f>
        <v>1.8106015037593985</v>
      </c>
      <c r="P3" s="11">
        <v>3</v>
      </c>
      <c r="Q3" s="7" t="str">
        <f>IF(O3&lt;P3,"NOT OK ", "OK")</f>
        <v xml:space="preserve">NOT OK </v>
      </c>
    </row>
    <row r="4" spans="1:20" x14ac:dyDescent="0.2">
      <c r="A4" s="7">
        <v>3</v>
      </c>
      <c r="B4" s="7">
        <v>31011520</v>
      </c>
      <c r="C4" s="7" t="s">
        <v>4</v>
      </c>
      <c r="D4" s="7" t="s">
        <v>7</v>
      </c>
      <c r="E4" s="7"/>
      <c r="F4" s="7" t="s">
        <v>37</v>
      </c>
      <c r="G4" s="8">
        <v>43741</v>
      </c>
      <c r="H4" s="9">
        <f t="shared" ref="H4:H33" si="1">I4*P4</f>
        <v>266.08695652173913</v>
      </c>
      <c r="I4" s="9">
        <v>88.695652173913047</v>
      </c>
      <c r="J4" s="7">
        <v>584</v>
      </c>
      <c r="K4" s="7">
        <v>236</v>
      </c>
      <c r="L4" s="7">
        <v>0</v>
      </c>
      <c r="M4" s="7"/>
      <c r="N4" s="7">
        <f t="shared" si="0"/>
        <v>820</v>
      </c>
      <c r="O4" s="10">
        <f t="shared" ref="O4:O33" si="2">N4/I4</f>
        <v>9.2450980392156854</v>
      </c>
      <c r="P4" s="11">
        <v>3</v>
      </c>
      <c r="Q4" s="7" t="str">
        <f t="shared" ref="Q4:Q33" si="3">IF(O4&lt;P4,"NOT OK ", "OK")</f>
        <v>OK</v>
      </c>
    </row>
    <row r="5" spans="1:20" x14ac:dyDescent="0.2">
      <c r="A5" s="7">
        <v>4</v>
      </c>
      <c r="B5" s="7">
        <v>31011520</v>
      </c>
      <c r="C5" s="7" t="s">
        <v>4</v>
      </c>
      <c r="D5" s="7" t="s">
        <v>8</v>
      </c>
      <c r="E5" s="7"/>
      <c r="F5" s="7" t="s">
        <v>38</v>
      </c>
      <c r="G5" s="8">
        <v>43741</v>
      </c>
      <c r="H5" s="9">
        <f t="shared" si="1"/>
        <v>266.08695652173913</v>
      </c>
      <c r="I5" s="9">
        <v>88.695652173913047</v>
      </c>
      <c r="J5" s="7">
        <v>1117</v>
      </c>
      <c r="K5" s="7">
        <v>734</v>
      </c>
      <c r="L5" s="7">
        <v>0</v>
      </c>
      <c r="M5" s="7"/>
      <c r="N5" s="7">
        <f t="shared" si="0"/>
        <v>1851</v>
      </c>
      <c r="O5" s="10">
        <f t="shared" si="2"/>
        <v>20.869117647058822</v>
      </c>
      <c r="P5" s="11">
        <v>3</v>
      </c>
      <c r="Q5" s="7" t="str">
        <f t="shared" si="3"/>
        <v>OK</v>
      </c>
    </row>
    <row r="6" spans="1:20" x14ac:dyDescent="0.2">
      <c r="A6" s="7">
        <v>5</v>
      </c>
      <c r="B6" s="7">
        <v>31011520</v>
      </c>
      <c r="C6" s="7" t="s">
        <v>4</v>
      </c>
      <c r="D6" s="7" t="s">
        <v>9</v>
      </c>
      <c r="E6" s="7"/>
      <c r="F6" s="7" t="s">
        <v>39</v>
      </c>
      <c r="G6" s="8">
        <v>43741</v>
      </c>
      <c r="H6" s="9">
        <f t="shared" si="1"/>
        <v>1300.9565217391305</v>
      </c>
      <c r="I6" s="9">
        <v>433.6521739130435</v>
      </c>
      <c r="J6" s="7">
        <v>898</v>
      </c>
      <c r="K6" s="7">
        <v>551</v>
      </c>
      <c r="L6" s="7">
        <v>0</v>
      </c>
      <c r="M6" s="7"/>
      <c r="N6" s="7">
        <f t="shared" si="0"/>
        <v>1449</v>
      </c>
      <c r="O6" s="10">
        <f t="shared" si="2"/>
        <v>3.3413876077802285</v>
      </c>
      <c r="P6" s="11">
        <v>3</v>
      </c>
      <c r="Q6" s="7" t="str">
        <f t="shared" si="3"/>
        <v>OK</v>
      </c>
    </row>
    <row r="7" spans="1:20" x14ac:dyDescent="0.2">
      <c r="A7" s="7">
        <v>6</v>
      </c>
      <c r="B7" s="7">
        <v>31011520</v>
      </c>
      <c r="C7" s="7" t="s">
        <v>4</v>
      </c>
      <c r="D7" s="7" t="s">
        <v>10</v>
      </c>
      <c r="E7" s="7"/>
      <c r="F7" s="7" t="s">
        <v>40</v>
      </c>
      <c r="G7" s="8">
        <v>43741</v>
      </c>
      <c r="H7" s="9">
        <f t="shared" si="1"/>
        <v>1302.2608695652175</v>
      </c>
      <c r="I7" s="9">
        <v>434.08695652173913</v>
      </c>
      <c r="J7" s="7">
        <v>1090</v>
      </c>
      <c r="K7" s="7">
        <v>743</v>
      </c>
      <c r="L7" s="7">
        <v>0</v>
      </c>
      <c r="M7" s="7"/>
      <c r="N7" s="7">
        <f t="shared" si="0"/>
        <v>1833</v>
      </c>
      <c r="O7" s="10">
        <f t="shared" si="2"/>
        <v>4.22265625</v>
      </c>
      <c r="P7" s="11">
        <v>3</v>
      </c>
      <c r="Q7" s="7" t="str">
        <f t="shared" si="3"/>
        <v>OK</v>
      </c>
    </row>
    <row r="8" spans="1:20" x14ac:dyDescent="0.2">
      <c r="A8" s="7">
        <v>7</v>
      </c>
      <c r="B8" s="7">
        <v>31011520</v>
      </c>
      <c r="C8" s="7" t="s">
        <v>4</v>
      </c>
      <c r="D8" s="7" t="s">
        <v>11</v>
      </c>
      <c r="E8" s="7"/>
      <c r="F8" s="7" t="s">
        <v>41</v>
      </c>
      <c r="G8" s="8">
        <v>43741</v>
      </c>
      <c r="H8" s="9">
        <f t="shared" si="1"/>
        <v>1569</v>
      </c>
      <c r="I8" s="9">
        <v>523</v>
      </c>
      <c r="J8" s="7">
        <v>867</v>
      </c>
      <c r="K8" s="7">
        <v>521</v>
      </c>
      <c r="L8" s="7">
        <v>0</v>
      </c>
      <c r="M8" s="7"/>
      <c r="N8" s="7">
        <f t="shared" si="0"/>
        <v>1388</v>
      </c>
      <c r="O8" s="10">
        <f t="shared" si="2"/>
        <v>2.6539196940726577</v>
      </c>
      <c r="P8" s="11">
        <v>3</v>
      </c>
      <c r="Q8" s="7" t="str">
        <f t="shared" si="3"/>
        <v xml:space="preserve">NOT OK </v>
      </c>
    </row>
    <row r="9" spans="1:20" x14ac:dyDescent="0.2">
      <c r="A9" s="7">
        <v>8</v>
      </c>
      <c r="B9" s="7">
        <v>31011520</v>
      </c>
      <c r="C9" s="7" t="s">
        <v>4</v>
      </c>
      <c r="D9" s="7" t="s">
        <v>12</v>
      </c>
      <c r="E9" s="7"/>
      <c r="F9" s="7" t="s">
        <v>42</v>
      </c>
      <c r="G9" s="8">
        <v>43741</v>
      </c>
      <c r="H9" s="9">
        <f t="shared" si="1"/>
        <v>1570.304347826087</v>
      </c>
      <c r="I9" s="9">
        <v>523.43478260869563</v>
      </c>
      <c r="J9" s="7">
        <v>957</v>
      </c>
      <c r="K9" s="7">
        <v>521</v>
      </c>
      <c r="L9" s="7">
        <v>0</v>
      </c>
      <c r="M9" s="7"/>
      <c r="N9" s="7">
        <f t="shared" si="0"/>
        <v>1478</v>
      </c>
      <c r="O9" s="10">
        <f t="shared" si="2"/>
        <v>2.823656449871252</v>
      </c>
      <c r="P9" s="11">
        <v>3</v>
      </c>
      <c r="Q9" s="7" t="str">
        <f t="shared" si="3"/>
        <v xml:space="preserve">NOT OK </v>
      </c>
    </row>
    <row r="10" spans="1:20" x14ac:dyDescent="0.2">
      <c r="A10" s="7">
        <v>9</v>
      </c>
      <c r="B10" s="7">
        <v>31011520</v>
      </c>
      <c r="C10" s="7" t="s">
        <v>4</v>
      </c>
      <c r="D10" s="7" t="s">
        <v>13</v>
      </c>
      <c r="E10" s="7"/>
      <c r="F10" s="7" t="s">
        <v>43</v>
      </c>
      <c r="G10" s="8">
        <v>43741</v>
      </c>
      <c r="H10" s="9">
        <f t="shared" si="1"/>
        <v>596.73913043478262</v>
      </c>
      <c r="I10" s="9">
        <v>198.91304347826087</v>
      </c>
      <c r="J10" s="7">
        <v>598</v>
      </c>
      <c r="K10" s="7">
        <v>473</v>
      </c>
      <c r="L10" s="7">
        <v>0</v>
      </c>
      <c r="M10" s="7"/>
      <c r="N10" s="7">
        <f t="shared" si="0"/>
        <v>1071</v>
      </c>
      <c r="O10" s="10">
        <f t="shared" si="2"/>
        <v>5.3842622950819674</v>
      </c>
      <c r="P10" s="11">
        <v>3</v>
      </c>
      <c r="Q10" s="7" t="str">
        <f t="shared" si="3"/>
        <v>OK</v>
      </c>
    </row>
    <row r="11" spans="1:20" x14ac:dyDescent="0.2">
      <c r="A11" s="7">
        <v>10</v>
      </c>
      <c r="B11" s="7">
        <v>31011520</v>
      </c>
      <c r="C11" s="7" t="s">
        <v>4</v>
      </c>
      <c r="D11" s="7" t="s">
        <v>14</v>
      </c>
      <c r="E11" s="7"/>
      <c r="F11" s="7" t="s">
        <v>44</v>
      </c>
      <c r="G11" s="8">
        <v>43741</v>
      </c>
      <c r="H11" s="9">
        <f t="shared" si="1"/>
        <v>598.04347826086962</v>
      </c>
      <c r="I11" s="9">
        <v>199.34782608695653</v>
      </c>
      <c r="J11" s="7">
        <v>250</v>
      </c>
      <c r="K11" s="7">
        <v>125</v>
      </c>
      <c r="L11" s="7">
        <v>0</v>
      </c>
      <c r="M11" s="7"/>
      <c r="N11" s="7">
        <f t="shared" si="0"/>
        <v>375</v>
      </c>
      <c r="O11" s="10">
        <f t="shared" si="2"/>
        <v>1.88113413304253</v>
      </c>
      <c r="P11" s="11">
        <v>3</v>
      </c>
      <c r="Q11" s="7" t="str">
        <f t="shared" si="3"/>
        <v xml:space="preserve">NOT OK </v>
      </c>
    </row>
    <row r="12" spans="1:20" x14ac:dyDescent="0.2">
      <c r="A12" s="7">
        <v>11</v>
      </c>
      <c r="B12" s="7">
        <v>31011520</v>
      </c>
      <c r="C12" s="7" t="s">
        <v>4</v>
      </c>
      <c r="D12" s="7" t="s">
        <v>15</v>
      </c>
      <c r="E12" s="7"/>
      <c r="F12" s="7" t="s">
        <v>45</v>
      </c>
      <c r="G12" s="8">
        <v>43741</v>
      </c>
      <c r="H12" s="9">
        <f t="shared" si="1"/>
        <v>700.04347826086962</v>
      </c>
      <c r="I12" s="9">
        <v>233.34782608695653</v>
      </c>
      <c r="J12" s="7">
        <v>562</v>
      </c>
      <c r="K12" s="7">
        <v>437</v>
      </c>
      <c r="L12" s="7">
        <v>0</v>
      </c>
      <c r="M12" s="7"/>
      <c r="N12" s="7">
        <f t="shared" si="0"/>
        <v>999</v>
      </c>
      <c r="O12" s="10">
        <f t="shared" si="2"/>
        <v>4.2811626607043038</v>
      </c>
      <c r="P12" s="11">
        <v>3</v>
      </c>
      <c r="Q12" s="7" t="str">
        <f t="shared" si="3"/>
        <v>OK</v>
      </c>
    </row>
    <row r="13" spans="1:20" x14ac:dyDescent="0.2">
      <c r="A13" s="7">
        <v>12</v>
      </c>
      <c r="B13" s="7">
        <v>31011520</v>
      </c>
      <c r="C13" s="7" t="s">
        <v>4</v>
      </c>
      <c r="D13" s="7" t="s">
        <v>16</v>
      </c>
      <c r="E13" s="7"/>
      <c r="F13" s="7" t="s">
        <v>46</v>
      </c>
      <c r="G13" s="8">
        <v>43741</v>
      </c>
      <c r="H13" s="9">
        <f t="shared" si="1"/>
        <v>701.86956521739125</v>
      </c>
      <c r="I13" s="9">
        <v>233.95652173913044</v>
      </c>
      <c r="J13" s="7">
        <v>472</v>
      </c>
      <c r="K13" s="7">
        <v>347</v>
      </c>
      <c r="L13" s="7">
        <v>0</v>
      </c>
      <c r="M13" s="7"/>
      <c r="N13" s="7">
        <f t="shared" si="0"/>
        <v>819</v>
      </c>
      <c r="O13" s="10">
        <f t="shared" si="2"/>
        <v>3.500650436721799</v>
      </c>
      <c r="P13" s="11">
        <v>3</v>
      </c>
      <c r="Q13" s="7" t="str">
        <f t="shared" si="3"/>
        <v>OK</v>
      </c>
    </row>
    <row r="14" spans="1:20" x14ac:dyDescent="0.2">
      <c r="A14" s="7">
        <v>13</v>
      </c>
      <c r="B14" s="7">
        <v>31011520</v>
      </c>
      <c r="C14" s="7" t="s">
        <v>4</v>
      </c>
      <c r="D14" s="12" t="s">
        <v>17</v>
      </c>
      <c r="E14" s="7"/>
      <c r="F14" s="12" t="s">
        <v>47</v>
      </c>
      <c r="G14" s="8">
        <v>43741</v>
      </c>
      <c r="H14" s="9">
        <f t="shared" si="1"/>
        <v>2312.478260869565</v>
      </c>
      <c r="I14" s="9">
        <v>770.82608695652175</v>
      </c>
      <c r="J14" s="7">
        <v>4483</v>
      </c>
      <c r="K14" s="7">
        <v>4357</v>
      </c>
      <c r="L14" s="7">
        <v>0</v>
      </c>
      <c r="M14" s="7"/>
      <c r="N14" s="7">
        <f t="shared" si="0"/>
        <v>8840</v>
      </c>
      <c r="O14" s="10">
        <f t="shared" si="2"/>
        <v>11.46821591742343</v>
      </c>
      <c r="P14" s="11">
        <v>3</v>
      </c>
      <c r="Q14" s="7" t="str">
        <f t="shared" si="3"/>
        <v>OK</v>
      </c>
    </row>
    <row r="15" spans="1:20" x14ac:dyDescent="0.2">
      <c r="A15" s="7">
        <v>14</v>
      </c>
      <c r="B15" s="7">
        <v>31011520</v>
      </c>
      <c r="C15" s="7" t="s">
        <v>4</v>
      </c>
      <c r="D15" s="12" t="s">
        <v>18</v>
      </c>
      <c r="E15" s="7"/>
      <c r="F15" s="12" t="s">
        <v>48</v>
      </c>
      <c r="G15" s="8">
        <v>43741</v>
      </c>
      <c r="H15" s="9">
        <f t="shared" si="1"/>
        <v>2292</v>
      </c>
      <c r="I15" s="9">
        <v>764</v>
      </c>
      <c r="J15" s="7">
        <v>670</v>
      </c>
      <c r="K15" s="7">
        <v>347</v>
      </c>
      <c r="L15" s="7">
        <v>0</v>
      </c>
      <c r="M15" s="7"/>
      <c r="N15" s="7">
        <f t="shared" si="0"/>
        <v>1017</v>
      </c>
      <c r="O15" s="10">
        <f t="shared" si="2"/>
        <v>1.331151832460733</v>
      </c>
      <c r="P15" s="11">
        <v>3</v>
      </c>
      <c r="Q15" s="7" t="str">
        <f t="shared" si="3"/>
        <v xml:space="preserve">NOT OK </v>
      </c>
    </row>
    <row r="16" spans="1:20" x14ac:dyDescent="0.2">
      <c r="A16" s="7">
        <v>15</v>
      </c>
      <c r="B16" s="7">
        <v>31011520</v>
      </c>
      <c r="C16" s="7" t="s">
        <v>4</v>
      </c>
      <c r="D16" s="7" t="s">
        <v>2</v>
      </c>
      <c r="E16" s="7"/>
      <c r="F16" s="7" t="s">
        <v>3</v>
      </c>
      <c r="G16" s="8">
        <v>43741</v>
      </c>
      <c r="H16" s="9">
        <f t="shared" si="1"/>
        <v>1300.9565217391305</v>
      </c>
      <c r="I16" s="9">
        <v>433.6521739130435</v>
      </c>
      <c r="J16" s="7">
        <v>598</v>
      </c>
      <c r="K16" s="7">
        <v>251</v>
      </c>
      <c r="L16" s="7">
        <v>0</v>
      </c>
      <c r="M16" s="7"/>
      <c r="N16" s="7">
        <f t="shared" si="0"/>
        <v>849</v>
      </c>
      <c r="O16" s="10">
        <f t="shared" si="2"/>
        <v>1.9577902546621215</v>
      </c>
      <c r="P16" s="11">
        <v>3</v>
      </c>
      <c r="Q16" s="7" t="str">
        <f t="shared" si="3"/>
        <v xml:space="preserve">NOT OK </v>
      </c>
    </row>
    <row r="17" spans="1:17" x14ac:dyDescent="0.2">
      <c r="A17" s="7">
        <v>16</v>
      </c>
      <c r="B17" s="7">
        <v>31011520</v>
      </c>
      <c r="C17" s="7" t="s">
        <v>4</v>
      </c>
      <c r="D17" s="7" t="s">
        <v>0</v>
      </c>
      <c r="E17" s="7"/>
      <c r="F17" s="7" t="s">
        <v>1</v>
      </c>
      <c r="G17" s="8">
        <v>43741</v>
      </c>
      <c r="H17" s="9">
        <f t="shared" si="1"/>
        <v>1302.2608695652175</v>
      </c>
      <c r="I17" s="9">
        <v>434.08695652173913</v>
      </c>
      <c r="J17" s="7">
        <v>859</v>
      </c>
      <c r="K17" s="7">
        <v>512</v>
      </c>
      <c r="L17" s="7">
        <v>0</v>
      </c>
      <c r="M17" s="7"/>
      <c r="N17" s="7">
        <f t="shared" si="0"/>
        <v>1371</v>
      </c>
      <c r="O17" s="10">
        <f t="shared" si="2"/>
        <v>3.1583533653846154</v>
      </c>
      <c r="P17" s="11">
        <v>3</v>
      </c>
      <c r="Q17" s="7" t="str">
        <f t="shared" si="3"/>
        <v>OK</v>
      </c>
    </row>
    <row r="18" spans="1:17" x14ac:dyDescent="0.2">
      <c r="A18" s="7">
        <v>17</v>
      </c>
      <c r="B18" s="7">
        <v>31011520</v>
      </c>
      <c r="C18" s="7" t="s">
        <v>4</v>
      </c>
      <c r="D18" s="7" t="s">
        <v>19</v>
      </c>
      <c r="E18" s="7"/>
      <c r="F18" s="7" t="s">
        <v>49</v>
      </c>
      <c r="G18" s="8">
        <v>43741</v>
      </c>
      <c r="H18" s="9">
        <f t="shared" si="1"/>
        <v>3719.7391304347821</v>
      </c>
      <c r="I18" s="9">
        <v>1239.9130434782608</v>
      </c>
      <c r="J18" s="7">
        <v>1364</v>
      </c>
      <c r="K18" s="7">
        <v>1002</v>
      </c>
      <c r="L18" s="7">
        <v>0</v>
      </c>
      <c r="M18" s="7"/>
      <c r="N18" s="7">
        <f t="shared" si="0"/>
        <v>2366</v>
      </c>
      <c r="O18" s="10">
        <f t="shared" si="2"/>
        <v>1.9081983308787434</v>
      </c>
      <c r="P18" s="11">
        <v>3</v>
      </c>
      <c r="Q18" s="7" t="str">
        <f t="shared" si="3"/>
        <v xml:space="preserve">NOT OK </v>
      </c>
    </row>
    <row r="19" spans="1:17" x14ac:dyDescent="0.2">
      <c r="A19" s="7">
        <v>18</v>
      </c>
      <c r="B19" s="7">
        <v>31011520</v>
      </c>
      <c r="C19" s="7" t="s">
        <v>4</v>
      </c>
      <c r="D19" s="7" t="s">
        <v>20</v>
      </c>
      <c r="E19" s="7"/>
      <c r="F19" s="7" t="s">
        <v>50</v>
      </c>
      <c r="G19" s="8">
        <v>43741</v>
      </c>
      <c r="H19" s="9">
        <f t="shared" si="1"/>
        <v>3730.173913043478</v>
      </c>
      <c r="I19" s="9">
        <v>1243.391304347826</v>
      </c>
      <c r="J19" s="7">
        <v>2471</v>
      </c>
      <c r="K19" s="7">
        <v>2124</v>
      </c>
      <c r="L19" s="7">
        <v>0</v>
      </c>
      <c r="M19" s="7"/>
      <c r="N19" s="7">
        <f t="shared" si="0"/>
        <v>4595</v>
      </c>
      <c r="O19" s="10">
        <f t="shared" si="2"/>
        <v>3.6955381495209458</v>
      </c>
      <c r="P19" s="11">
        <v>3</v>
      </c>
      <c r="Q19" s="7" t="str">
        <f t="shared" si="3"/>
        <v>OK</v>
      </c>
    </row>
    <row r="20" spans="1:17" x14ac:dyDescent="0.2">
      <c r="A20" s="7">
        <v>19</v>
      </c>
      <c r="B20" s="7">
        <v>31011520</v>
      </c>
      <c r="C20" s="7" t="s">
        <v>4</v>
      </c>
      <c r="D20" s="7" t="s">
        <v>21</v>
      </c>
      <c r="E20" s="7"/>
      <c r="F20" s="7" t="s">
        <v>51</v>
      </c>
      <c r="G20" s="8">
        <v>43741</v>
      </c>
      <c r="H20" s="9">
        <f t="shared" si="1"/>
        <v>164.3478260869565</v>
      </c>
      <c r="I20" s="9">
        <v>54.782608695652172</v>
      </c>
      <c r="J20" s="7">
        <v>802</v>
      </c>
      <c r="K20" s="7">
        <v>457</v>
      </c>
      <c r="L20" s="7">
        <v>0</v>
      </c>
      <c r="M20" s="7"/>
      <c r="N20" s="7">
        <f t="shared" si="0"/>
        <v>1259</v>
      </c>
      <c r="O20" s="10">
        <f t="shared" si="2"/>
        <v>22.981746031746031</v>
      </c>
      <c r="P20" s="11">
        <v>3</v>
      </c>
      <c r="Q20" s="7" t="str">
        <f t="shared" si="3"/>
        <v>OK</v>
      </c>
    </row>
    <row r="21" spans="1:17" x14ac:dyDescent="0.2">
      <c r="A21" s="7">
        <v>20</v>
      </c>
      <c r="B21" s="7">
        <v>31011520</v>
      </c>
      <c r="C21" s="7" t="s">
        <v>4</v>
      </c>
      <c r="D21" s="7" t="s">
        <v>22</v>
      </c>
      <c r="E21" s="7"/>
      <c r="F21" s="7" t="s">
        <v>52</v>
      </c>
      <c r="G21" s="8">
        <v>43741</v>
      </c>
      <c r="H21" s="9">
        <f t="shared" si="1"/>
        <v>184.56521739130434</v>
      </c>
      <c r="I21" s="9">
        <v>61.521739130434781</v>
      </c>
      <c r="J21" s="7">
        <v>1281</v>
      </c>
      <c r="K21" s="7">
        <v>547</v>
      </c>
      <c r="L21" s="7">
        <v>0</v>
      </c>
      <c r="M21" s="7"/>
      <c r="N21" s="7">
        <f t="shared" si="0"/>
        <v>1828</v>
      </c>
      <c r="O21" s="10">
        <f t="shared" si="2"/>
        <v>29.713074204946999</v>
      </c>
      <c r="P21" s="11">
        <v>3</v>
      </c>
      <c r="Q21" s="7" t="str">
        <f t="shared" si="3"/>
        <v>OK</v>
      </c>
    </row>
    <row r="22" spans="1:17" x14ac:dyDescent="0.2">
      <c r="A22" s="7">
        <v>21</v>
      </c>
      <c r="B22" s="7">
        <v>31011520</v>
      </c>
      <c r="C22" s="7" t="s">
        <v>4</v>
      </c>
      <c r="D22" s="7" t="s">
        <v>23</v>
      </c>
      <c r="E22" s="7"/>
      <c r="F22" s="7" t="s">
        <v>53</v>
      </c>
      <c r="G22" s="8">
        <v>43741</v>
      </c>
      <c r="H22" s="9">
        <f t="shared" si="1"/>
        <v>1567.0434782608695</v>
      </c>
      <c r="I22" s="9">
        <v>522.3478260869565</v>
      </c>
      <c r="J22" s="7">
        <v>920</v>
      </c>
      <c r="K22" s="7">
        <v>457</v>
      </c>
      <c r="L22" s="7">
        <v>0</v>
      </c>
      <c r="M22" s="7"/>
      <c r="N22" s="7">
        <f t="shared" si="0"/>
        <v>1377</v>
      </c>
      <c r="O22" s="10">
        <f t="shared" si="2"/>
        <v>2.6361744631263528</v>
      </c>
      <c r="P22" s="11">
        <v>3</v>
      </c>
      <c r="Q22" s="7" t="str">
        <f t="shared" si="3"/>
        <v xml:space="preserve">NOT OK </v>
      </c>
    </row>
    <row r="23" spans="1:17" x14ac:dyDescent="0.2">
      <c r="A23" s="7">
        <v>22</v>
      </c>
      <c r="B23" s="7">
        <v>31011520</v>
      </c>
      <c r="C23" s="7" t="s">
        <v>4</v>
      </c>
      <c r="D23" s="7" t="s">
        <v>24</v>
      </c>
      <c r="E23" s="7"/>
      <c r="F23" s="7" t="s">
        <v>54</v>
      </c>
      <c r="G23" s="8">
        <v>43741</v>
      </c>
      <c r="H23" s="9">
        <f t="shared" si="1"/>
        <v>1568.3478260869565</v>
      </c>
      <c r="I23" s="9">
        <v>522.78260869565213</v>
      </c>
      <c r="J23" s="7">
        <v>561</v>
      </c>
      <c r="K23" s="7">
        <v>347</v>
      </c>
      <c r="L23" s="7">
        <v>0</v>
      </c>
      <c r="M23" s="7"/>
      <c r="N23" s="7">
        <f t="shared" si="0"/>
        <v>908</v>
      </c>
      <c r="O23" s="10">
        <f t="shared" si="2"/>
        <v>1.7368596141051231</v>
      </c>
      <c r="P23" s="11">
        <v>3</v>
      </c>
      <c r="Q23" s="7" t="str">
        <f t="shared" si="3"/>
        <v xml:space="preserve">NOT OK </v>
      </c>
    </row>
    <row r="24" spans="1:17" x14ac:dyDescent="0.2">
      <c r="A24" s="7">
        <v>23</v>
      </c>
      <c r="B24" s="7">
        <v>31011520</v>
      </c>
      <c r="C24" s="7" t="s">
        <v>4</v>
      </c>
      <c r="D24" s="7" t="s">
        <v>25</v>
      </c>
      <c r="E24" s="7"/>
      <c r="F24" s="7" t="s">
        <v>55</v>
      </c>
      <c r="G24" s="8">
        <v>43741</v>
      </c>
      <c r="H24" s="9">
        <f t="shared" si="1"/>
        <v>972.26086956521738</v>
      </c>
      <c r="I24" s="9">
        <v>324.08695652173913</v>
      </c>
      <c r="J24" s="7">
        <v>870</v>
      </c>
      <c r="K24" s="7">
        <v>745</v>
      </c>
      <c r="L24" s="7">
        <v>0</v>
      </c>
      <c r="M24" s="7"/>
      <c r="N24" s="7">
        <f t="shared" si="0"/>
        <v>1615</v>
      </c>
      <c r="O24" s="10">
        <f t="shared" si="2"/>
        <v>4.9832304802790448</v>
      </c>
      <c r="P24" s="11">
        <v>3</v>
      </c>
      <c r="Q24" s="7" t="str">
        <f t="shared" si="3"/>
        <v>OK</v>
      </c>
    </row>
    <row r="25" spans="1:17" x14ac:dyDescent="0.2">
      <c r="A25" s="7">
        <v>24</v>
      </c>
      <c r="B25" s="7">
        <v>31011520</v>
      </c>
      <c r="C25" s="7" t="s">
        <v>4</v>
      </c>
      <c r="D25" s="7" t="s">
        <v>26</v>
      </c>
      <c r="E25" s="7"/>
      <c r="F25" s="7" t="s">
        <v>56</v>
      </c>
      <c r="G25" s="8">
        <v>43741</v>
      </c>
      <c r="H25" s="9">
        <f t="shared" si="1"/>
        <v>972.26086956521738</v>
      </c>
      <c r="I25" s="9">
        <v>324.08695652173913</v>
      </c>
      <c r="J25" s="7">
        <v>1169</v>
      </c>
      <c r="K25" s="7">
        <v>745</v>
      </c>
      <c r="L25" s="7">
        <v>0</v>
      </c>
      <c r="M25" s="7"/>
      <c r="N25" s="7">
        <f t="shared" si="0"/>
        <v>1914</v>
      </c>
      <c r="O25" s="10">
        <f t="shared" si="2"/>
        <v>5.9058223772471159</v>
      </c>
      <c r="P25" s="11">
        <v>3</v>
      </c>
      <c r="Q25" s="7" t="str">
        <f t="shared" si="3"/>
        <v>OK</v>
      </c>
    </row>
    <row r="26" spans="1:17" x14ac:dyDescent="0.2">
      <c r="A26" s="7">
        <v>25</v>
      </c>
      <c r="B26" s="7">
        <v>31011520</v>
      </c>
      <c r="C26" s="7" t="s">
        <v>4</v>
      </c>
      <c r="D26" s="7" t="s">
        <v>27</v>
      </c>
      <c r="E26" s="7"/>
      <c r="F26" s="7" t="s">
        <v>57</v>
      </c>
      <c r="G26" s="8">
        <v>43741</v>
      </c>
      <c r="H26" s="9">
        <f t="shared" si="1"/>
        <v>1047.6521739130435</v>
      </c>
      <c r="I26" s="9">
        <v>349.21739130434781</v>
      </c>
      <c r="J26" s="7">
        <v>987</v>
      </c>
      <c r="K26" s="7">
        <v>745</v>
      </c>
      <c r="L26" s="7">
        <v>0</v>
      </c>
      <c r="M26" s="7"/>
      <c r="N26" s="7">
        <f t="shared" si="0"/>
        <v>1732</v>
      </c>
      <c r="O26" s="10">
        <f t="shared" si="2"/>
        <v>4.9596613545816739</v>
      </c>
      <c r="P26" s="11">
        <v>3</v>
      </c>
      <c r="Q26" s="7" t="str">
        <f t="shared" si="3"/>
        <v>OK</v>
      </c>
    </row>
    <row r="27" spans="1:17" x14ac:dyDescent="0.2">
      <c r="A27" s="7">
        <v>26</v>
      </c>
      <c r="B27" s="7">
        <v>31011520</v>
      </c>
      <c r="C27" s="7" t="s">
        <v>4</v>
      </c>
      <c r="D27" s="7" t="s">
        <v>28</v>
      </c>
      <c r="E27" s="7"/>
      <c r="F27" s="7" t="s">
        <v>58</v>
      </c>
      <c r="G27" s="8">
        <v>43741</v>
      </c>
      <c r="H27" s="9">
        <f t="shared" si="1"/>
        <v>1046.3478260869565</v>
      </c>
      <c r="I27" s="9">
        <v>348.78260869565219</v>
      </c>
      <c r="J27" s="7">
        <v>582</v>
      </c>
      <c r="K27" s="7">
        <v>458</v>
      </c>
      <c r="L27" s="7">
        <v>0</v>
      </c>
      <c r="M27" s="7"/>
      <c r="N27" s="7">
        <f t="shared" si="0"/>
        <v>1040</v>
      </c>
      <c r="O27" s="10">
        <f t="shared" si="2"/>
        <v>2.9818000498628772</v>
      </c>
      <c r="P27" s="11">
        <v>3</v>
      </c>
      <c r="Q27" s="7" t="str">
        <f t="shared" si="3"/>
        <v xml:space="preserve">NOT OK </v>
      </c>
    </row>
    <row r="28" spans="1:17" x14ac:dyDescent="0.2">
      <c r="A28" s="7">
        <v>27</v>
      </c>
      <c r="B28" s="7">
        <v>31011520</v>
      </c>
      <c r="C28" s="7" t="s">
        <v>4</v>
      </c>
      <c r="D28" s="7" t="s">
        <v>29</v>
      </c>
      <c r="E28" s="7"/>
      <c r="F28" s="7" t="s">
        <v>59</v>
      </c>
      <c r="G28" s="8">
        <v>43741</v>
      </c>
      <c r="H28" s="9">
        <f t="shared" si="1"/>
        <v>1416.5869565217392</v>
      </c>
      <c r="I28" s="9">
        <v>472.19565217391306</v>
      </c>
      <c r="J28" s="7">
        <v>584</v>
      </c>
      <c r="K28" s="7">
        <v>459</v>
      </c>
      <c r="L28" s="7">
        <v>0</v>
      </c>
      <c r="M28" s="7"/>
      <c r="N28" s="7">
        <f t="shared" si="0"/>
        <v>1043</v>
      </c>
      <c r="O28" s="10">
        <f t="shared" si="2"/>
        <v>2.2088301643570736</v>
      </c>
      <c r="P28" s="11">
        <v>3</v>
      </c>
      <c r="Q28" s="7" t="str">
        <f t="shared" si="3"/>
        <v xml:space="preserve">NOT OK </v>
      </c>
    </row>
    <row r="29" spans="1:17" x14ac:dyDescent="0.2">
      <c r="A29" s="7">
        <v>28</v>
      </c>
      <c r="B29" s="7">
        <v>31011520</v>
      </c>
      <c r="C29" s="7" t="s">
        <v>4</v>
      </c>
      <c r="D29" s="7" t="s">
        <v>30</v>
      </c>
      <c r="E29" s="7"/>
      <c r="F29" s="7" t="s">
        <v>60</v>
      </c>
      <c r="G29" s="8">
        <v>43741</v>
      </c>
      <c r="H29" s="9">
        <f t="shared" si="1"/>
        <v>1406.3478260869565</v>
      </c>
      <c r="I29" s="9">
        <v>468.78260869565219</v>
      </c>
      <c r="J29" s="7">
        <v>583</v>
      </c>
      <c r="K29" s="7">
        <v>459</v>
      </c>
      <c r="L29" s="7">
        <v>0</v>
      </c>
      <c r="M29" s="7"/>
      <c r="N29" s="7">
        <f t="shared" si="0"/>
        <v>1042</v>
      </c>
      <c r="O29" s="10">
        <f t="shared" si="2"/>
        <v>2.2227787052494898</v>
      </c>
      <c r="P29" s="11">
        <v>3</v>
      </c>
      <c r="Q29" s="7" t="str">
        <f t="shared" si="3"/>
        <v xml:space="preserve">NOT OK </v>
      </c>
    </row>
    <row r="30" spans="1:17" x14ac:dyDescent="0.2">
      <c r="A30" s="7">
        <v>29</v>
      </c>
      <c r="B30" s="7">
        <v>31011520</v>
      </c>
      <c r="C30" s="7" t="s">
        <v>4</v>
      </c>
      <c r="D30" s="7" t="s">
        <v>31</v>
      </c>
      <c r="E30" s="7"/>
      <c r="F30" s="7" t="s">
        <v>61</v>
      </c>
      <c r="G30" s="8">
        <v>43741</v>
      </c>
      <c r="H30" s="9">
        <f t="shared" si="1"/>
        <v>1567.0434782608695</v>
      </c>
      <c r="I30" s="9">
        <v>522.3478260869565</v>
      </c>
      <c r="J30" s="7">
        <v>919</v>
      </c>
      <c r="K30" s="7">
        <v>794</v>
      </c>
      <c r="L30" s="7">
        <v>0</v>
      </c>
      <c r="M30" s="7"/>
      <c r="N30" s="7">
        <f t="shared" si="0"/>
        <v>1713</v>
      </c>
      <c r="O30" s="10">
        <f t="shared" si="2"/>
        <v>3.2794240053271184</v>
      </c>
      <c r="P30" s="11">
        <v>3</v>
      </c>
      <c r="Q30" s="7" t="str">
        <f t="shared" si="3"/>
        <v>OK</v>
      </c>
    </row>
    <row r="31" spans="1:17" x14ac:dyDescent="0.2">
      <c r="A31" s="7">
        <v>30</v>
      </c>
      <c r="B31" s="7">
        <v>31011520</v>
      </c>
      <c r="C31" s="7" t="s">
        <v>4</v>
      </c>
      <c r="D31" s="7" t="s">
        <v>32</v>
      </c>
      <c r="E31" s="7"/>
      <c r="F31" s="7" t="s">
        <v>62</v>
      </c>
      <c r="G31" s="8">
        <v>43741</v>
      </c>
      <c r="H31" s="9">
        <f t="shared" si="1"/>
        <v>1930.1739130434785</v>
      </c>
      <c r="I31" s="9">
        <v>643.39130434782612</v>
      </c>
      <c r="J31" s="7">
        <v>983</v>
      </c>
      <c r="K31" s="7">
        <v>458</v>
      </c>
      <c r="L31" s="7">
        <v>0</v>
      </c>
      <c r="M31" s="7"/>
      <c r="N31" s="7">
        <f t="shared" si="0"/>
        <v>1441</v>
      </c>
      <c r="O31" s="10">
        <f t="shared" si="2"/>
        <v>2.2396945533180159</v>
      </c>
      <c r="P31" s="11">
        <v>3</v>
      </c>
      <c r="Q31" s="7" t="str">
        <f t="shared" si="3"/>
        <v xml:space="preserve">NOT OK </v>
      </c>
    </row>
    <row r="32" spans="1:17" x14ac:dyDescent="0.2">
      <c r="A32" s="7">
        <v>31</v>
      </c>
      <c r="B32" s="7">
        <v>31011520</v>
      </c>
      <c r="C32" s="7" t="s">
        <v>4</v>
      </c>
      <c r="D32" s="7" t="s">
        <v>33</v>
      </c>
      <c r="E32" s="7"/>
      <c r="F32" s="13" t="s">
        <v>63</v>
      </c>
      <c r="G32" s="8">
        <v>43741</v>
      </c>
      <c r="H32" s="9">
        <f t="shared" si="1"/>
        <v>164.3478260869565</v>
      </c>
      <c r="I32" s="9">
        <v>54.782608695652172</v>
      </c>
      <c r="J32" s="7">
        <v>869</v>
      </c>
      <c r="K32" s="7">
        <v>457</v>
      </c>
      <c r="L32" s="7">
        <v>0</v>
      </c>
      <c r="M32" s="7"/>
      <c r="N32" s="7">
        <f t="shared" si="0"/>
        <v>1326</v>
      </c>
      <c r="O32" s="10">
        <f t="shared" si="2"/>
        <v>24.204761904761906</v>
      </c>
      <c r="P32" s="11">
        <v>3</v>
      </c>
      <c r="Q32" s="7" t="str">
        <f t="shared" si="3"/>
        <v>OK</v>
      </c>
    </row>
    <row r="33" spans="1:17" x14ac:dyDescent="0.2">
      <c r="A33" s="7">
        <v>32</v>
      </c>
      <c r="B33" s="7">
        <v>31011520</v>
      </c>
      <c r="C33" s="7" t="s">
        <v>4</v>
      </c>
      <c r="D33" s="7" t="s">
        <v>34</v>
      </c>
      <c r="E33" s="7"/>
      <c r="F33" s="13" t="s">
        <v>64</v>
      </c>
      <c r="G33" s="8">
        <v>43741</v>
      </c>
      <c r="H33" s="9">
        <f t="shared" si="1"/>
        <v>184.56521739130434</v>
      </c>
      <c r="I33" s="9">
        <v>61.521739130434781</v>
      </c>
      <c r="J33" s="7">
        <v>581</v>
      </c>
      <c r="K33" s="7">
        <v>457</v>
      </c>
      <c r="L33" s="7">
        <v>0</v>
      </c>
      <c r="M33" s="7"/>
      <c r="N33" s="7">
        <f t="shared" si="0"/>
        <v>1038</v>
      </c>
      <c r="O33" s="10">
        <f t="shared" si="2"/>
        <v>16.87208480565371</v>
      </c>
      <c r="P33" s="11">
        <v>3</v>
      </c>
      <c r="Q33" s="7" t="str">
        <f t="shared" si="3"/>
        <v>OK</v>
      </c>
    </row>
  </sheetData>
  <autoFilter ref="A1:Q33" xr:uid="{9F870179-BDFD-3C4A-A6E8-73D8731F0F87}"/>
  <conditionalFormatting sqref="Q1:Q1048576">
    <cfRule type="expression" dxfId="0" priority="1">
      <formula>"NOT 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03.10.2019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Rakhmat Adi Pamungkas</dc:creator>
  <cp:lastModifiedBy>dvandika</cp:lastModifiedBy>
  <dcterms:created xsi:type="dcterms:W3CDTF">2019-08-26T03:23:46Z</dcterms:created>
  <dcterms:modified xsi:type="dcterms:W3CDTF">2019-10-03T06:18:29Z</dcterms:modified>
</cp:coreProperties>
</file>